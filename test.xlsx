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<sst xmlns="http://schemas.openxmlformats.org/spreadsheetml/2006/main" count="10" uniqueCount="10">
  <si>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Totaal:</t>
  </si>
  <si>
    <t>Rente</t>
  </si>
  <si>
    <t>Datum</t>
  </si>
  <si>
    <t>Resterende lening</t>
  </si>
  <si>
    <t>Rente over maand</t>
  </si>
  <si>
    <t>Aflossing</t>
  </si>
  <si>
    <t>Extra aflossing</t>
  </si>
  <si>
    <t>Verschuldigd maandbedrag</t>
  </si>
  <si>
    <t>Rente per jaar</t>
  </si>
  <si>
    <t>Afgelost per jaar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</si>
</sst>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0" fillId="0" fontId="2" numFmtId="0" xfId="0" applyFont="1"/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3" width="15.5"/>
    <col customWidth="1" min="4" max="4" width="8.63"/>
    <col customWidth="1" min="5" max="5" width="13.0"/>
    <col customWidth="1" min="6" max="6" width="22.88"/>
    <col customWidth="1" min="8" max="8" width="13.13"/>
  </cols>
  <sheetData>
    <row r="1">
      <c r="A1" s="1" t="s">
        <v>0</v>
      </c>
      <c r="B1" s="1">
        <v>70000.0</v>
      </c>
    </row>
    <row r="2">
      <c r="A2" s="1" t="s">
        <v>1</v>
      </c>
      <c r="B2" s="1">
        <v>3.86</v>
      </c>
    </row>
    <row r="4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3" t="s">
        <v>8</v>
      </c>
      <c r="H4" s="3" t="s">
        <v>9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5">
        <v>45413.0</v>
      </c>
      <c r="B5" s="6">
        <v>70000.0</v>
      </c>
      <c r="C5" s="6">
        <f t="shared" ref="C5:C59" si="1">round(B5*$B$2/12,0)/100</f>
        <v>225.17</v>
      </c>
      <c r="D5" s="6">
        <v>1000.0</v>
      </c>
      <c r="E5" s="6">
        <v>500.0</v>
      </c>
      <c r="F5" s="7">
        <f>D5+C5+E5</f>
        <v>1725.17</v>
      </c>
    </row>
    <row r="6">
      <c r="A6" s="5">
        <v>45444.0</v>
      </c>
      <c r="B6" s="7">
        <f t="shared" ref="B6:B59" si="2">B5-D5-E5</f>
        <v>68500</v>
      </c>
      <c r="C6" s="6">
        <f t="shared" si="1"/>
        <v>220.34</v>
      </c>
      <c r="D6" s="6">
        <v>1000.0</v>
      </c>
      <c r="E6" s="6">
        <v>500.0</v>
      </c>
      <c r="F6" s="7">
        <f>D6+C6+E7</f>
        <v>1720.34</v>
      </c>
    </row>
    <row r="7">
      <c r="A7" s="5">
        <v>45474.0</v>
      </c>
      <c r="B7" s="7">
        <f t="shared" si="2"/>
        <v>67000</v>
      </c>
      <c r="C7" s="6">
        <f t="shared" si="1"/>
        <v>215.52</v>
      </c>
      <c r="D7" s="6">
        <v>1000.0</v>
      </c>
      <c r="E7" s="6">
        <v>500.0</v>
      </c>
      <c r="F7" s="7">
        <f t="shared" ref="F7:F59" si="3">D7+C7+E7</f>
        <v>1715.52</v>
      </c>
    </row>
    <row r="8">
      <c r="A8" s="5">
        <v>45505.0</v>
      </c>
      <c r="B8" s="7">
        <f t="shared" si="2"/>
        <v>65500</v>
      </c>
      <c r="C8" s="6">
        <f t="shared" si="1"/>
        <v>210.69</v>
      </c>
      <c r="D8" s="6">
        <v>1000.0</v>
      </c>
      <c r="E8" s="6">
        <v>500.0</v>
      </c>
      <c r="F8" s="7">
        <f t="shared" si="3"/>
        <v>1710.69</v>
      </c>
    </row>
    <row r="9">
      <c r="A9" s="5">
        <v>45536.0</v>
      </c>
      <c r="B9" s="7">
        <f t="shared" si="2"/>
        <v>64000</v>
      </c>
      <c r="C9" s="6">
        <f t="shared" si="1"/>
        <v>205.87</v>
      </c>
      <c r="D9" s="6">
        <v>1000.0</v>
      </c>
      <c r="E9" s="6">
        <v>500.0</v>
      </c>
      <c r="F9" s="7">
        <f t="shared" si="3"/>
        <v>1705.87</v>
      </c>
    </row>
    <row r="10">
      <c r="A10" s="5">
        <v>45566.0</v>
      </c>
      <c r="B10" s="7">
        <f t="shared" si="2"/>
        <v>62500</v>
      </c>
      <c r="C10" s="6">
        <f t="shared" si="1"/>
        <v>201.04</v>
      </c>
      <c r="D10" s="6">
        <v>1000.0</v>
      </c>
      <c r="E10" s="6">
        <v>500.0</v>
      </c>
      <c r="F10" s="7">
        <f t="shared" si="3"/>
        <v>1701.04</v>
      </c>
    </row>
    <row r="11">
      <c r="A11" s="5">
        <v>45597.0</v>
      </c>
      <c r="B11" s="7">
        <f t="shared" si="2"/>
        <v>61000</v>
      </c>
      <c r="C11" s="6">
        <f t="shared" si="1"/>
        <v>196.22</v>
      </c>
      <c r="D11" s="6">
        <v>1000.0</v>
      </c>
      <c r="E11" s="6">
        <v>500.0</v>
      </c>
      <c r="F11" s="7">
        <f t="shared" si="3"/>
        <v>1696.22</v>
      </c>
    </row>
    <row r="12">
      <c r="A12" s="5">
        <v>45627.0</v>
      </c>
      <c r="B12" s="7">
        <f t="shared" si="2"/>
        <v>59500</v>
      </c>
      <c r="C12" s="6">
        <f t="shared" si="1"/>
        <v>191.39</v>
      </c>
      <c r="D12" s="6">
        <v>1000.0</v>
      </c>
      <c r="E12" s="6">
        <v>500.0</v>
      </c>
      <c r="F12" s="7">
        <f t="shared" si="3"/>
        <v>1691.39</v>
      </c>
      <c r="G12" s="8">
        <f>SUM(C5:C12)</f>
        <v>1666.24</v>
      </c>
      <c r="H12" s="8">
        <f>SUM(D5:E12)</f>
        <v>12000</v>
      </c>
    </row>
    <row r="13">
      <c r="A13" s="5">
        <v>45658.0</v>
      </c>
      <c r="B13" s="7">
        <f t="shared" si="2"/>
        <v>58000</v>
      </c>
      <c r="C13" s="6">
        <f t="shared" si="1"/>
        <v>186.57</v>
      </c>
      <c r="D13" s="6">
        <v>1000.0</v>
      </c>
      <c r="E13" s="6">
        <v>500.0</v>
      </c>
      <c r="F13" s="7">
        <f t="shared" si="3"/>
        <v>1686.57</v>
      </c>
    </row>
    <row r="14">
      <c r="A14" s="5">
        <v>45689.0</v>
      </c>
      <c r="B14" s="7">
        <f t="shared" si="2"/>
        <v>56500</v>
      </c>
      <c r="C14" s="6">
        <f t="shared" si="1"/>
        <v>181.74</v>
      </c>
      <c r="D14" s="6">
        <v>1000.0</v>
      </c>
      <c r="E14" s="6">
        <v>500.0</v>
      </c>
      <c r="F14" s="7">
        <f t="shared" si="3"/>
        <v>1681.74</v>
      </c>
    </row>
    <row r="15">
      <c r="A15" s="5">
        <v>45717.0</v>
      </c>
      <c r="B15" s="7">
        <f t="shared" si="2"/>
        <v>55000</v>
      </c>
      <c r="C15" s="6">
        <f t="shared" si="1"/>
        <v>176.92</v>
      </c>
      <c r="D15" s="6">
        <v>1000.0</v>
      </c>
      <c r="E15" s="6">
        <v>500.0</v>
      </c>
      <c r="F15" s="7">
        <f t="shared" si="3"/>
        <v>1676.92</v>
      </c>
    </row>
    <row r="16">
      <c r="A16" s="5">
        <v>45748.0</v>
      </c>
      <c r="B16" s="7">
        <f t="shared" si="2"/>
        <v>53500</v>
      </c>
      <c r="C16" s="6">
        <f t="shared" si="1"/>
        <v>172.09</v>
      </c>
      <c r="D16" s="6">
        <v>1000.0</v>
      </c>
      <c r="E16" s="6">
        <v>500.0</v>
      </c>
      <c r="F16" s="7">
        <f t="shared" si="3"/>
        <v>1672.09</v>
      </c>
    </row>
    <row r="17">
      <c r="A17" s="5">
        <v>45778.0</v>
      </c>
      <c r="B17" s="7">
        <f t="shared" si="2"/>
        <v>52000</v>
      </c>
      <c r="C17" s="6">
        <f t="shared" si="1"/>
        <v>167.27</v>
      </c>
      <c r="D17" s="6">
        <v>1000.0</v>
      </c>
      <c r="E17" s="6">
        <v>500.0</v>
      </c>
      <c r="F17" s="7">
        <f t="shared" si="3"/>
        <v>1667.27</v>
      </c>
    </row>
    <row r="18">
      <c r="A18" s="5">
        <v>45809.0</v>
      </c>
      <c r="B18" s="7">
        <f t="shared" si="2"/>
        <v>50500</v>
      </c>
      <c r="C18" s="6">
        <f t="shared" si="1"/>
        <v>162.44</v>
      </c>
      <c r="D18" s="6">
        <v>1000.0</v>
      </c>
      <c r="E18" s="6">
        <v>500.0</v>
      </c>
      <c r="F18" s="7">
        <f t="shared" si="3"/>
        <v>1662.44</v>
      </c>
    </row>
    <row r="19">
      <c r="A19" s="5">
        <v>45839.0</v>
      </c>
      <c r="B19" s="7">
        <f t="shared" si="2"/>
        <v>49000</v>
      </c>
      <c r="C19" s="6">
        <f t="shared" si="1"/>
        <v>157.62</v>
      </c>
      <c r="D19" s="6">
        <v>1000.0</v>
      </c>
      <c r="E19" s="6">
        <v>500.0</v>
      </c>
      <c r="F19" s="7">
        <f t="shared" si="3"/>
        <v>1657.62</v>
      </c>
    </row>
    <row r="20">
      <c r="A20" s="5">
        <v>45870.0</v>
      </c>
      <c r="B20" s="7">
        <f t="shared" si="2"/>
        <v>47500</v>
      </c>
      <c r="C20" s="6">
        <f t="shared" si="1"/>
        <v>152.79</v>
      </c>
      <c r="D20" s="6">
        <v>1000.0</v>
      </c>
      <c r="E20" s="6">
        <v>500.0</v>
      </c>
      <c r="F20" s="7">
        <f t="shared" si="3"/>
        <v>1652.79</v>
      </c>
    </row>
    <row r="21">
      <c r="A21" s="5">
        <v>45901.0</v>
      </c>
      <c r="B21" s="7">
        <f t="shared" si="2"/>
        <v>46000</v>
      </c>
      <c r="C21" s="6">
        <f t="shared" si="1"/>
        <v>147.97</v>
      </c>
      <c r="D21" s="6">
        <v>1000.0</v>
      </c>
      <c r="E21" s="6">
        <v>500.0</v>
      </c>
      <c r="F21" s="7">
        <f t="shared" si="3"/>
        <v>1647.97</v>
      </c>
    </row>
    <row r="22">
      <c r="A22" s="5">
        <v>45931.0</v>
      </c>
      <c r="B22" s="7">
        <f t="shared" si="2"/>
        <v>44500</v>
      </c>
      <c r="C22" s="6">
        <f t="shared" si="1"/>
        <v>143.14</v>
      </c>
      <c r="D22" s="6">
        <v>1000.0</v>
      </c>
      <c r="E22" s="6">
        <v>500.0</v>
      </c>
      <c r="F22" s="7">
        <f t="shared" si="3"/>
        <v>1643.14</v>
      </c>
    </row>
    <row r="23">
      <c r="A23" s="5">
        <v>45962.0</v>
      </c>
      <c r="B23" s="7">
        <f t="shared" si="2"/>
        <v>43000</v>
      </c>
      <c r="C23" s="6">
        <f t="shared" si="1"/>
        <v>138.32</v>
      </c>
      <c r="D23" s="6">
        <v>1000.0</v>
      </c>
      <c r="E23" s="6">
        <v>500.0</v>
      </c>
      <c r="F23" s="7">
        <f t="shared" si="3"/>
        <v>1638.32</v>
      </c>
    </row>
    <row r="24">
      <c r="A24" s="5">
        <v>45992.0</v>
      </c>
      <c r="B24" s="7">
        <f t="shared" si="2"/>
        <v>41500</v>
      </c>
      <c r="C24" s="6">
        <f t="shared" si="1"/>
        <v>133.49</v>
      </c>
      <c r="D24" s="6">
        <v>1000.0</v>
      </c>
      <c r="E24" s="6">
        <v>500.0</v>
      </c>
      <c r="F24" s="7">
        <f t="shared" si="3"/>
        <v>1633.49</v>
      </c>
      <c r="G24" s="8">
        <f>SUM(C13:C24)</f>
        <v>1920.36</v>
      </c>
      <c r="H24" s="8">
        <f>SUM(D13:E24)</f>
        <v>18000</v>
      </c>
    </row>
    <row r="25">
      <c r="A25" s="5">
        <v>46023.0</v>
      </c>
      <c r="B25" s="7">
        <f t="shared" si="2"/>
        <v>40000</v>
      </c>
      <c r="C25" s="6">
        <f t="shared" si="1"/>
        <v>128.67</v>
      </c>
      <c r="D25" s="6">
        <v>1000.0</v>
      </c>
      <c r="E25" s="6">
        <v>5500.0</v>
      </c>
      <c r="F25" s="7">
        <f t="shared" si="3"/>
        <v>6628.67</v>
      </c>
    </row>
    <row r="26">
      <c r="A26" s="5">
        <v>46054.0</v>
      </c>
      <c r="B26" s="7">
        <f t="shared" si="2"/>
        <v>33500</v>
      </c>
      <c r="C26" s="6">
        <f t="shared" si="1"/>
        <v>107.76</v>
      </c>
      <c r="D26" s="6">
        <v>1000.0</v>
      </c>
      <c r="E26" s="6">
        <v>500.0</v>
      </c>
      <c r="F26" s="7">
        <f t="shared" si="3"/>
        <v>1607.76</v>
      </c>
    </row>
    <row r="27">
      <c r="A27" s="5">
        <v>46082.0</v>
      </c>
      <c r="B27" s="7">
        <f t="shared" si="2"/>
        <v>32000</v>
      </c>
      <c r="C27" s="6">
        <f t="shared" si="1"/>
        <v>102.93</v>
      </c>
      <c r="D27" s="6">
        <v>1000.0</v>
      </c>
      <c r="E27" s="6">
        <v>500.0</v>
      </c>
      <c r="F27" s="7">
        <f t="shared" si="3"/>
        <v>1602.93</v>
      </c>
    </row>
    <row r="28">
      <c r="A28" s="5">
        <v>46113.0</v>
      </c>
      <c r="B28" s="7">
        <f t="shared" si="2"/>
        <v>30500</v>
      </c>
      <c r="C28" s="6">
        <f t="shared" si="1"/>
        <v>98.11</v>
      </c>
      <c r="D28" s="6">
        <v>1000.0</v>
      </c>
      <c r="E28" s="6">
        <v>500.0</v>
      </c>
      <c r="F28" s="7">
        <f t="shared" si="3"/>
        <v>1598.11</v>
      </c>
    </row>
    <row r="29">
      <c r="A29" s="9">
        <v>46143.0</v>
      </c>
      <c r="B29" s="8">
        <f t="shared" si="2"/>
        <v>29000</v>
      </c>
      <c r="C29" s="1">
        <f t="shared" si="1"/>
        <v>93.28</v>
      </c>
      <c r="D29" s="1">
        <v>1000.0</v>
      </c>
      <c r="E29" s="1">
        <v>500.0</v>
      </c>
      <c r="F29" s="8">
        <f t="shared" si="3"/>
        <v>1593.28</v>
      </c>
    </row>
    <row r="30">
      <c r="A30" s="9">
        <v>46174.0</v>
      </c>
      <c r="B30" s="8">
        <f t="shared" si="2"/>
        <v>27500</v>
      </c>
      <c r="C30" s="1">
        <f t="shared" si="1"/>
        <v>88.46</v>
      </c>
      <c r="D30" s="1">
        <v>1000.0</v>
      </c>
      <c r="E30" s="1">
        <v>500.0</v>
      </c>
      <c r="F30" s="8">
        <f t="shared" si="3"/>
        <v>1588.46</v>
      </c>
    </row>
    <row r="31">
      <c r="A31" s="9">
        <v>46204.0</v>
      </c>
      <c r="B31" s="8">
        <f t="shared" si="2"/>
        <v>26000</v>
      </c>
      <c r="C31" s="1">
        <f t="shared" si="1"/>
        <v>83.63</v>
      </c>
      <c r="D31" s="1">
        <v>1000.0</v>
      </c>
      <c r="E31" s="1">
        <v>500.0</v>
      </c>
      <c r="F31" s="8">
        <f t="shared" si="3"/>
        <v>1583.63</v>
      </c>
    </row>
    <row r="32">
      <c r="A32" s="9">
        <v>46235.0</v>
      </c>
      <c r="B32" s="8">
        <f t="shared" si="2"/>
        <v>24500</v>
      </c>
      <c r="C32" s="1">
        <f t="shared" si="1"/>
        <v>78.81</v>
      </c>
      <c r="D32" s="1">
        <v>1000.0</v>
      </c>
      <c r="E32" s="1">
        <v>500.0</v>
      </c>
      <c r="F32" s="8">
        <f t="shared" si="3"/>
        <v>1578.81</v>
      </c>
    </row>
    <row r="33">
      <c r="A33" s="9">
        <v>46266.0</v>
      </c>
      <c r="B33" s="8">
        <f t="shared" si="2"/>
        <v>23000</v>
      </c>
      <c r="C33" s="1">
        <f t="shared" si="1"/>
        <v>73.98</v>
      </c>
      <c r="D33" s="1">
        <v>1000.0</v>
      </c>
      <c r="E33" s="1">
        <v>500.0</v>
      </c>
      <c r="F33" s="8">
        <f t="shared" si="3"/>
        <v>1573.98</v>
      </c>
    </row>
    <row r="34">
      <c r="A34" s="9">
        <v>46296.0</v>
      </c>
      <c r="B34" s="8">
        <f t="shared" si="2"/>
        <v>21500</v>
      </c>
      <c r="C34" s="1">
        <f t="shared" si="1"/>
        <v>69.16</v>
      </c>
      <c r="D34" s="1">
        <v>1000.0</v>
      </c>
      <c r="E34" s="1">
        <v>500.0</v>
      </c>
      <c r="F34" s="8">
        <f t="shared" si="3"/>
        <v>1569.16</v>
      </c>
    </row>
    <row r="35">
      <c r="A35" s="9">
        <v>46327.0</v>
      </c>
      <c r="B35" s="8">
        <f t="shared" si="2"/>
        <v>20000</v>
      </c>
      <c r="C35" s="1">
        <f t="shared" si="1"/>
        <v>64.33</v>
      </c>
      <c r="D35" s="1">
        <v>1000.0</v>
      </c>
      <c r="E35" s="1">
        <v>500.0</v>
      </c>
      <c r="F35" s="8">
        <f t="shared" si="3"/>
        <v>1564.33</v>
      </c>
    </row>
    <row r="36">
      <c r="A36" s="9">
        <v>46357.0</v>
      </c>
      <c r="B36" s="8">
        <f t="shared" si="2"/>
        <v>18500</v>
      </c>
      <c r="C36" s="1">
        <f t="shared" si="1"/>
        <v>59.51</v>
      </c>
      <c r="D36" s="1">
        <v>1000.0</v>
      </c>
      <c r="E36" s="1">
        <v>500.0</v>
      </c>
      <c r="F36" s="8">
        <f t="shared" si="3"/>
        <v>1559.51</v>
      </c>
      <c r="G36" s="8">
        <f>SUM(C25:C36)</f>
        <v>1048.63</v>
      </c>
      <c r="H36" s="8">
        <f>SUM(D25:E36)</f>
        <v>23000</v>
      </c>
    </row>
    <row r="37">
      <c r="A37" s="9">
        <v>46388.0</v>
      </c>
      <c r="B37" s="8">
        <f t="shared" si="2"/>
        <v>17000</v>
      </c>
      <c r="C37" s="1">
        <f t="shared" si="1"/>
        <v>54.68</v>
      </c>
      <c r="D37" s="1">
        <v>1000.0</v>
      </c>
      <c r="E37" s="1">
        <v>500.0</v>
      </c>
      <c r="F37" s="8">
        <f t="shared" si="3"/>
        <v>1554.68</v>
      </c>
    </row>
    <row r="38">
      <c r="A38" s="9">
        <v>46419.0</v>
      </c>
      <c r="B38" s="8">
        <f t="shared" si="2"/>
        <v>15500</v>
      </c>
      <c r="C38" s="1">
        <f t="shared" si="1"/>
        <v>49.86</v>
      </c>
      <c r="D38" s="1">
        <v>1000.0</v>
      </c>
      <c r="E38" s="1">
        <v>500.0</v>
      </c>
      <c r="F38" s="8">
        <f t="shared" si="3"/>
        <v>1549.86</v>
      </c>
    </row>
    <row r="39">
      <c r="A39" s="9">
        <v>46447.0</v>
      </c>
      <c r="B39" s="8">
        <f t="shared" si="2"/>
        <v>14000</v>
      </c>
      <c r="C39" s="1">
        <f t="shared" si="1"/>
        <v>45.03</v>
      </c>
      <c r="D39" s="1">
        <v>1000.0</v>
      </c>
      <c r="E39" s="1">
        <v>500.0</v>
      </c>
      <c r="F39" s="8">
        <f t="shared" si="3"/>
        <v>1545.03</v>
      </c>
    </row>
    <row r="40">
      <c r="A40" s="9">
        <v>46478.0</v>
      </c>
      <c r="B40" s="8">
        <f t="shared" si="2"/>
        <v>12500</v>
      </c>
      <c r="C40" s="1">
        <f t="shared" si="1"/>
        <v>40.21</v>
      </c>
      <c r="D40" s="1">
        <v>1000.0</v>
      </c>
      <c r="E40" s="1">
        <v>500.0</v>
      </c>
      <c r="F40" s="8">
        <f t="shared" si="3"/>
        <v>1540.21</v>
      </c>
    </row>
    <row r="41">
      <c r="A41" s="9">
        <v>46508.0</v>
      </c>
      <c r="B41" s="8">
        <f t="shared" si="2"/>
        <v>11000</v>
      </c>
      <c r="C41" s="1">
        <f t="shared" si="1"/>
        <v>35.38</v>
      </c>
      <c r="D41" s="1">
        <v>1000.0</v>
      </c>
      <c r="E41" s="1">
        <v>500.0</v>
      </c>
      <c r="F41" s="8">
        <f t="shared" si="3"/>
        <v>1535.38</v>
      </c>
    </row>
    <row r="42">
      <c r="A42" s="9">
        <v>46539.0</v>
      </c>
      <c r="B42" s="8">
        <f t="shared" si="2"/>
        <v>9500</v>
      </c>
      <c r="C42" s="1">
        <f t="shared" si="1"/>
        <v>30.56</v>
      </c>
      <c r="D42" s="1">
        <v>1000.0</v>
      </c>
      <c r="E42" s="1">
        <v>500.0</v>
      </c>
      <c r="F42" s="8">
        <f t="shared" si="3"/>
        <v>1530.56</v>
      </c>
    </row>
    <row r="43">
      <c r="A43" s="9">
        <v>46569.0</v>
      </c>
      <c r="B43" s="8">
        <f t="shared" si="2"/>
        <v>8000</v>
      </c>
      <c r="C43" s="1">
        <f t="shared" si="1"/>
        <v>25.73</v>
      </c>
      <c r="D43" s="1">
        <v>1000.0</v>
      </c>
      <c r="E43" s="1">
        <v>500.0</v>
      </c>
      <c r="F43" s="8">
        <f t="shared" si="3"/>
        <v>1525.73</v>
      </c>
    </row>
    <row r="44">
      <c r="A44" s="9">
        <v>46600.0</v>
      </c>
      <c r="B44" s="8">
        <f t="shared" si="2"/>
        <v>6500</v>
      </c>
      <c r="C44" s="1">
        <f t="shared" si="1"/>
        <v>20.91</v>
      </c>
      <c r="D44" s="1">
        <v>1000.0</v>
      </c>
      <c r="E44" s="1">
        <v>500.0</v>
      </c>
      <c r="F44" s="8">
        <f t="shared" si="3"/>
        <v>1520.91</v>
      </c>
    </row>
    <row r="45">
      <c r="A45" s="9">
        <v>46631.0</v>
      </c>
      <c r="B45" s="8">
        <f t="shared" si="2"/>
        <v>5000</v>
      </c>
      <c r="C45" s="1">
        <f t="shared" si="1"/>
        <v>16.08</v>
      </c>
      <c r="D45" s="1">
        <v>1000.0</v>
      </c>
      <c r="E45" s="1">
        <v>500.0</v>
      </c>
      <c r="F45" s="8">
        <f t="shared" si="3"/>
        <v>1516.08</v>
      </c>
    </row>
    <row r="46">
      <c r="A46" s="9">
        <v>46661.0</v>
      </c>
      <c r="B46" s="8">
        <f t="shared" si="2"/>
        <v>3500</v>
      </c>
      <c r="C46" s="1">
        <f t="shared" si="1"/>
        <v>11.26</v>
      </c>
      <c r="D46" s="1">
        <v>1000.0</v>
      </c>
      <c r="E46" s="1">
        <v>500.0</v>
      </c>
      <c r="F46" s="8">
        <f t="shared" si="3"/>
        <v>1511.26</v>
      </c>
    </row>
    <row r="47">
      <c r="A47" s="9">
        <v>46692.0</v>
      </c>
      <c r="B47" s="8">
        <f t="shared" si="2"/>
        <v>2000</v>
      </c>
      <c r="C47" s="1">
        <f t="shared" si="1"/>
        <v>6.43</v>
      </c>
      <c r="D47" s="1">
        <v>1000.0</v>
      </c>
      <c r="F47" s="8">
        <f t="shared" si="3"/>
        <v>1006.43</v>
      </c>
    </row>
    <row r="48">
      <c r="A48" s="9">
        <v>46722.0</v>
      </c>
      <c r="B48" s="8">
        <f t="shared" si="2"/>
        <v>1000</v>
      </c>
      <c r="C48" s="1">
        <f t="shared" si="1"/>
        <v>3.22</v>
      </c>
      <c r="D48" s="1">
        <v>1000.0</v>
      </c>
      <c r="F48" s="8">
        <f t="shared" si="3"/>
        <v>1003.22</v>
      </c>
      <c r="G48" s="8">
        <f>SUM(C37:C48)</f>
        <v>339.35</v>
      </c>
      <c r="H48" s="8">
        <f>SUM(D37:E48)</f>
        <v>17000</v>
      </c>
    </row>
    <row r="49">
      <c r="A49" s="9">
        <v>46753.0</v>
      </c>
      <c r="B49" s="8">
        <f t="shared" si="2"/>
        <v>0</v>
      </c>
      <c r="C49" s="1">
        <f t="shared" si="1"/>
        <v>0</v>
      </c>
      <c r="D49" s="1">
        <v>1000.0</v>
      </c>
      <c r="F49" s="8">
        <f t="shared" si="3"/>
        <v>1000</v>
      </c>
    </row>
    <row r="50">
      <c r="A50" s="9">
        <v>46784.0</v>
      </c>
      <c r="B50" s="8">
        <f t="shared" si="2"/>
        <v>-1000</v>
      </c>
      <c r="C50" s="1">
        <f t="shared" si="1"/>
        <v>-3.22</v>
      </c>
      <c r="D50" s="1">
        <v>1000.0</v>
      </c>
      <c r="F50" s="8">
        <f t="shared" si="3"/>
        <v>996.78</v>
      </c>
    </row>
    <row r="51">
      <c r="A51" s="9">
        <v>46813.0</v>
      </c>
      <c r="B51" s="8">
        <f t="shared" si="2"/>
        <v>-2000</v>
      </c>
      <c r="C51" s="1">
        <f t="shared" si="1"/>
        <v>-6.43</v>
      </c>
      <c r="D51" s="1">
        <v>1000.0</v>
      </c>
      <c r="F51" s="8">
        <f t="shared" si="3"/>
        <v>993.57</v>
      </c>
    </row>
    <row r="52">
      <c r="A52" s="9">
        <v>46844.0</v>
      </c>
      <c r="B52" s="8">
        <f t="shared" si="2"/>
        <v>-3000</v>
      </c>
      <c r="C52" s="1">
        <f t="shared" si="1"/>
        <v>-9.65</v>
      </c>
      <c r="D52" s="1">
        <v>1000.0</v>
      </c>
      <c r="F52" s="8">
        <f t="shared" si="3"/>
        <v>990.35</v>
      </c>
    </row>
    <row r="53">
      <c r="A53" s="9">
        <v>46874.0</v>
      </c>
      <c r="B53" s="8">
        <f t="shared" si="2"/>
        <v>-4000</v>
      </c>
      <c r="C53" s="1">
        <f t="shared" si="1"/>
        <v>-12.87</v>
      </c>
      <c r="D53" s="1">
        <v>1000.0</v>
      </c>
      <c r="F53" s="8">
        <f t="shared" si="3"/>
        <v>987.13</v>
      </c>
    </row>
    <row r="54">
      <c r="A54" s="9">
        <v>46905.0</v>
      </c>
      <c r="B54" s="8">
        <f t="shared" si="2"/>
        <v>-5000</v>
      </c>
      <c r="C54" s="1">
        <f t="shared" si="1"/>
        <v>-16.08</v>
      </c>
      <c r="D54" s="1">
        <v>1000.0</v>
      </c>
      <c r="F54" s="8">
        <f t="shared" si="3"/>
        <v>983.92</v>
      </c>
    </row>
    <row r="55">
      <c r="A55" s="9">
        <v>46935.0</v>
      </c>
      <c r="B55" s="8">
        <f t="shared" si="2"/>
        <v>-6000</v>
      </c>
      <c r="C55" s="1">
        <f t="shared" si="1"/>
        <v>-19.3</v>
      </c>
      <c r="D55" s="1">
        <v>1000.0</v>
      </c>
      <c r="F55" s="8">
        <f t="shared" si="3"/>
        <v>980.7</v>
      </c>
    </row>
    <row r="56">
      <c r="A56" s="9">
        <v>46966.0</v>
      </c>
      <c r="B56" s="8">
        <f t="shared" si="2"/>
        <v>-7000</v>
      </c>
      <c r="C56" s="1">
        <f t="shared" si="1"/>
        <v>-22.52</v>
      </c>
      <c r="D56" s="1">
        <v>1000.0</v>
      </c>
      <c r="F56" s="8">
        <f t="shared" si="3"/>
        <v>977.48</v>
      </c>
    </row>
    <row r="57">
      <c r="A57" s="9">
        <v>46997.0</v>
      </c>
      <c r="B57" s="8">
        <f t="shared" si="2"/>
        <v>-8000</v>
      </c>
      <c r="C57" s="1">
        <f t="shared" si="1"/>
        <v>-25.73</v>
      </c>
      <c r="D57" s="1">
        <v>1000.0</v>
      </c>
      <c r="F57" s="8">
        <f t="shared" si="3"/>
        <v>974.27</v>
      </c>
    </row>
    <row r="58">
      <c r="A58" s="9">
        <v>47027.0</v>
      </c>
      <c r="B58" s="8">
        <f t="shared" si="2"/>
        <v>-9000</v>
      </c>
      <c r="C58" s="1">
        <f t="shared" si="1"/>
        <v>-28.95</v>
      </c>
      <c r="D58" s="1">
        <v>1000.0</v>
      </c>
      <c r="F58" s="8">
        <f t="shared" si="3"/>
        <v>971.05</v>
      </c>
    </row>
    <row r="59">
      <c r="A59" s="9">
        <v>47058.0</v>
      </c>
      <c r="B59" s="8">
        <f t="shared" si="2"/>
        <v>-10000</v>
      </c>
      <c r="C59" s="1">
        <f t="shared" si="1"/>
        <v>-32.17</v>
      </c>
      <c r="D59" s="1">
        <v>500.0</v>
      </c>
      <c r="F59" s="8">
        <f t="shared" si="3"/>
        <v>467.83</v>
      </c>
    </row>
    <row r="60">
      <c r="A60" s="9"/>
      <c r="G60" s="8">
        <f>SUM(C49:C60)</f>
        <v>-176.92</v>
      </c>
      <c r="H60" s="8">
        <f>SUM(D49:E60)</f>
        <v>10500</v>
      </c>
    </row>
    <row r="61">
      <c r="A61" s="9"/>
    </row>
    <row r="62">
      <c r="A62" s="9"/>
    </row>
    <row r="63">
      <c r="A63" s="9"/>
    </row>
    <row r="64">
      <c r="A64" s="9"/>
    </row>
    <row r="65">
      <c r="A65" s="9"/>
    </row>
    <row r="66">
      <c r="A66" s="9"/>
    </row>
    <row r="67">
      <c r="A67" s="9"/>
    </row>
    <row r="68">
      <c r="A68" s="9"/>
    </row>
    <row r="69">
      <c r="A69" s="9"/>
    </row>
    <row r="70">
      <c r="A70" s="9"/>
    </row>
    <row r="71">
      <c r="A71" s="9"/>
    </row>
    <row r="72">
      <c r="A72" s="9"/>
    </row>
    <row r="73">
      <c r="A73" s="9"/>
    </row>
    <row r="74">
      <c r="A74" s="9"/>
    </row>
    <row r="75">
      <c r="A75" s="9"/>
    </row>
    <row r="76">
      <c r="A76" s="9"/>
    </row>
    <row r="77">
      <c r="A77" s="9"/>
    </row>
    <row r="78">
      <c r="A78" s="9"/>
    </row>
    <row r="79">
      <c r="A79" s="9"/>
    </row>
    <row r="80">
      <c r="A80" s="9"/>
    </row>
    <row r="81">
      <c r="A81" s="9"/>
    </row>
    <row r="82">
      <c r="A82" s="9"/>
    </row>
    <row r="83">
      <c r="A83" s="9"/>
    </row>
    <row r="84">
      <c r="A84" s="9"/>
    </row>
    <row r="85">
      <c r="A85" s="9"/>
    </row>
    <row r="86">
      <c r="A86" s="9"/>
    </row>
    <row r="87">
      <c r="A87" s="9"/>
    </row>
    <row r="88">
      <c r="A88" s="9"/>
    </row>
    <row r="89">
      <c r="A89" s="9"/>
    </row>
    <row r="90">
      <c r="A90" s="9"/>
    </row>
    <row r="91">
      <c r="A91" s="9"/>
    </row>
    <row r="92">
      <c r="A92" s="9"/>
    </row>
    <row r="93">
      <c r="A93" s="9"/>
    </row>
    <row r="94">
      <c r="A94" s="9"/>
    </row>
    <row r="95">
      <c r="A95" s="9"/>
    </row>
    <row r="96">
      <c r="A96" s="9"/>
    </row>
    <row r="97">
      <c r="A97" s="9"/>
    </row>
    <row r="98">
      <c r="A98" s="9"/>
    </row>
    <row r="99">
      <c r="A99" s="9"/>
    </row>
    <row r="100">
      <c r="A100" s="9"/>
    </row>
    <row r="101">
      <c r="A101" s="9"/>
    </row>
    <row r="102">
      <c r="A102" s="9"/>
    </row>
    <row r="103">
      <c r="A103" s="9"/>
    </row>
    <row r="104">
      <c r="A104" s="9"/>
    </row>
    <row r="105">
      <c r="A105" s="9"/>
    </row>
    <row r="106">
      <c r="A106" s="9"/>
    </row>
    <row r="107">
      <c r="A107" s="9"/>
    </row>
    <row r="108">
      <c r="A108" s="9"/>
    </row>
    <row r="109">
      <c r="A109" s="9"/>
    </row>
    <row r="110">
      <c r="A110" s="9"/>
    </row>
    <row r="111">
      <c r="A111" s="9"/>
    </row>
    <row r="112">
      <c r="A112" s="9"/>
    </row>
    <row r="113">
      <c r="A113" s="9"/>
    </row>
    <row r="114">
      <c r="A114" s="9"/>
    </row>
    <row r="115">
      <c r="A115" s="9"/>
    </row>
    <row r="116">
      <c r="A116" s="9"/>
    </row>
    <row r="117">
      <c r="A117" s="9"/>
    </row>
    <row r="118">
      <c r="A118" s="9"/>
    </row>
    <row r="119">
      <c r="A119" s="9"/>
    </row>
    <row r="120">
      <c r="A120" s="9"/>
    </row>
    <row r="121">
      <c r="A121" s="9"/>
    </row>
    <row r="122">
      <c r="A122" s="9"/>
    </row>
    <row r="123">
      <c r="A123" s="9"/>
    </row>
    <row r="124">
      <c r="A124" s="9"/>
    </row>
    <row r="125">
      <c r="A125" s="9"/>
    </row>
    <row r="126">
      <c r="A126" s="9"/>
    </row>
    <row r="127">
      <c r="A127" s="9"/>
    </row>
    <row r="128">
      <c r="A128" s="9"/>
    </row>
    <row r="129">
      <c r="A129" s="9"/>
    </row>
  </sheetData>
  <drawing r:id="rId1"/>
</worksheet>
</file>